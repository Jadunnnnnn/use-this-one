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theod\OneDrive\Documents\"/>
    </mc:Choice>
  </mc:AlternateContent>
  <xr:revisionPtr revIDLastSave="0" documentId="8_{60F46EA1-17EF-4CFF-96EB-375709ECF896}" xr6:coauthVersionLast="47" xr6:coauthVersionMax="47" xr10:uidLastSave="{00000000-0000-0000-0000-000000000000}"/>
  <bookViews>
    <workbookView xWindow="-120" yWindow="-120" windowWidth="29040" windowHeight="15720" activeTab="4" xr2:uid="{00000000-000D-0000-FFFF-FFFF00000000}"/>
  </bookViews>
  <sheets>
    <sheet name="INGREDIENT" sheetId="1" r:id="rId1"/>
    <sheet name="LOCATION" sheetId="2" r:id="rId2"/>
    <sheet name="INVENTORY" sheetId="3" r:id="rId3"/>
    <sheet name="SUPPLIER" sheetId="4" r:id="rId4"/>
    <sheet name="PURCHASE_ORDER" sheetId="5" r:id="rId5"/>
    <sheet name="REFLECTION"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5" l="1"/>
  <c r="G5" i="5"/>
  <c r="G4" i="5"/>
  <c r="G3" i="5"/>
  <c r="G2" i="5"/>
  <c r="K6" i="3"/>
  <c r="J6" i="3"/>
  <c r="K5" i="3"/>
  <c r="J5" i="3"/>
  <c r="K4" i="3"/>
  <c r="J4" i="3"/>
  <c r="K3" i="3"/>
  <c r="J3" i="3"/>
  <c r="K2" i="3"/>
  <c r="J2" i="3"/>
</calcChain>
</file>

<file path=xl/sharedStrings.xml><?xml version="1.0" encoding="utf-8"?>
<sst xmlns="http://schemas.openxmlformats.org/spreadsheetml/2006/main" count="115" uniqueCount="91">
  <si>
    <t>Chicken Breast</t>
  </si>
  <si>
    <t>Protein</t>
  </si>
  <si>
    <t>lbs</t>
  </si>
  <si>
    <t>Tyson</t>
  </si>
  <si>
    <t>Refrigerated</t>
  </si>
  <si>
    <t>Canola Oil</t>
  </si>
  <si>
    <t>Oil</t>
  </si>
  <si>
    <t>gallons</t>
  </si>
  <si>
    <t>Crisco</t>
  </si>
  <si>
    <t>Dry Storage</t>
  </si>
  <si>
    <t>Flour</t>
  </si>
  <si>
    <t>Dry Goods</t>
  </si>
  <si>
    <t>Gold Medal</t>
  </si>
  <si>
    <t>Cane's Sauce</t>
  </si>
  <si>
    <t>Sauce</t>
  </si>
  <si>
    <t>cases</t>
  </si>
  <si>
    <t>Canes</t>
  </si>
  <si>
    <t>French Fries</t>
  </si>
  <si>
    <t>Frozen</t>
  </si>
  <si>
    <t>Lamb Weston</t>
  </si>
  <si>
    <t>Freezer</t>
  </si>
  <si>
    <t>Walk-In Fridge A</t>
  </si>
  <si>
    <t>Manager A</t>
  </si>
  <si>
    <t>Freezer B</t>
  </si>
  <si>
    <t>Manager B</t>
  </si>
  <si>
    <t>Dry Storage Room</t>
  </si>
  <si>
    <t>Manager C</t>
  </si>
  <si>
    <t>Fresh stock</t>
  </si>
  <si>
    <t>Bulk oil</t>
  </si>
  <si>
    <t>Baking supply</t>
  </si>
  <si>
    <t>Frozen fries</t>
  </si>
  <si>
    <t>Tyson Foods</t>
  </si>
  <si>
    <t>contact@tyson.com</t>
  </si>
  <si>
    <t>210-555-1111</t>
  </si>
  <si>
    <t>TX</t>
  </si>
  <si>
    <t>A</t>
  </si>
  <si>
    <t>Crisco Supply</t>
  </si>
  <si>
    <t>info@crisco.com</t>
  </si>
  <si>
    <t>210-555-2222</t>
  </si>
  <si>
    <t>B</t>
  </si>
  <si>
    <t>Gold Medal Co.</t>
  </si>
  <si>
    <t>support@goldmedal.com</t>
  </si>
  <si>
    <t>210-555-3333</t>
  </si>
  <si>
    <t>Pending</t>
  </si>
  <si>
    <t>Card</t>
  </si>
  <si>
    <t>High</t>
  </si>
  <si>
    <t>Received</t>
  </si>
  <si>
    <t>Medium</t>
  </si>
  <si>
    <t>Invoice</t>
  </si>
  <si>
    <t>Low</t>
  </si>
  <si>
    <t>Cancelled</t>
  </si>
  <si>
    <t>The hardest part of this assignment for me was figuring out how the foreign keys should connect between the tables, especially in the INVENTORY table. Since INVENTORY connects both INGREDIENT and LOCATION, I had to make sure the IDs matched correctly and actually made sense based on the data I created. It was a little confusing at first, but it helped me understand how tables relate to each other in a database. The INVENTORY table has two foreign keys: IngredientID and LocationID. IngredientID tells us what item is being stored, and LocationID tells us where it is stored. Together, they help answer the question of what items are in stock and where they are located. If Raising Cane’s opened a second location, I would need to add new rows in the LOCATION table and also new rows in the INVENTORY table to track inventory at that location. The other tables like INGREDIENT and SUPPLIER would mostly stay the same unless new items or suppliers were added. A relational database is different from separate Excel files because everything is connected through keys. If you just had separate Excel files, it would be easy to make mistakes like using the wrong ID or having duplicate or missing data. Databases help keep everything organized and consistent. Overall, this assignment helped me better understand how databases work and why relationships between tables are important</t>
  </si>
  <si>
    <t>ingredient_id</t>
  </si>
  <si>
    <t>ingredient_name</t>
  </si>
  <si>
    <t>category</t>
  </si>
  <si>
    <t>unit_of_measure</t>
  </si>
  <si>
    <t>unit_cost</t>
  </si>
  <si>
    <t>is_active</t>
  </si>
  <si>
    <t>expiration_days</t>
  </si>
  <si>
    <t>brand</t>
  </si>
  <si>
    <t>storage_type</t>
  </si>
  <si>
    <t>location_id</t>
  </si>
  <si>
    <t>location_name</t>
  </si>
  <si>
    <t>location_type</t>
  </si>
  <si>
    <t>capacity_units</t>
  </si>
  <si>
    <t>temperature</t>
  </si>
  <si>
    <t>manager_name</t>
  </si>
  <si>
    <t>inventory_ID</t>
  </si>
  <si>
    <t>qty_on_hand</t>
  </si>
  <si>
    <t>reorder_point</t>
  </si>
  <si>
    <t>reorder_qty</t>
  </si>
  <si>
    <t>last_updated</t>
  </si>
  <si>
    <t>safety_stock</t>
  </si>
  <si>
    <t>notes</t>
  </si>
  <si>
    <t>inventory_value</t>
  </si>
  <si>
    <t>stock_status</t>
  </si>
  <si>
    <t>supplier_id</t>
  </si>
  <si>
    <t>supplier_name</t>
  </si>
  <si>
    <t>contact_email</t>
  </si>
  <si>
    <t>contact_phone</t>
  </si>
  <si>
    <t>lead_time_days</t>
  </si>
  <si>
    <t>address</t>
  </si>
  <si>
    <t>rating</t>
  </si>
  <si>
    <t>poid</t>
  </si>
  <si>
    <t>order_date</t>
  </si>
  <si>
    <t>expected_delivery</t>
  </si>
  <si>
    <t>qty_ordered</t>
  </si>
  <si>
    <t>total_cost</t>
  </si>
  <si>
    <t>status</t>
  </si>
  <si>
    <t>payment_method</t>
  </si>
  <si>
    <t>order_priority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</si>
</sst>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D966"/>
        <bgColor rgb="FFFFD966"/>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164" fontId="0" fillId="0" borderId="0" xfId="0" applyNumberFormat="1"/>
    <xf numFmtId="0" fontId="0" fillId="0" borderId="0" xfId="0" applyAlignment="1">
      <alignment horizontal="center"/>
    </xf>
    <xf numFmtId="0" fontId="0" fillId="0" borderId="0" xfId="0"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
  <sheetViews>
    <sheetView workbookViewId="0">
      <pane ySplit="1" topLeftCell="A2" activePane="bottomLeft" state="frozen"/>
      <selection pane="bottomLeft" activeCell="C37" sqref="C37"/>
    </sheetView>
  </sheetViews>
  <sheetFormatPr defaultRowHeight="15" x14ac:dyDescent="0.25"/>
  <cols>
    <col min="1" max="1" width="14" customWidth="1"/>
    <col min="2" max="2" width="16" customWidth="1"/>
    <col min="3" max="3" width="14" customWidth="1"/>
    <col min="4" max="4" width="15" customWidth="1"/>
    <col min="5" max="6" width="14" customWidth="1"/>
    <col min="7" max="7" width="16" customWidth="1"/>
    <col min="8" max="9" width="14" customWidth="1"/>
  </cols>
  <sheetData>
    <row r="1" spans="1:9" x14ac:dyDescent="0.25">
      <c r="A1" s="1" t="s">
        <v>52</v>
      </c>
      <c r="B1" s="1" t="s">
        <v>53</v>
      </c>
      <c r="C1" s="1" t="s">
        <v>54</v>
      </c>
      <c r="D1" s="1" t="s">
        <v>55</v>
      </c>
      <c r="E1" s="1" t="s">
        <v>56</v>
      </c>
      <c r="F1" s="1" t="s">
        <v>57</v>
      </c>
      <c r="G1" s="1" t="s">
        <v>58</v>
      </c>
      <c r="H1" s="1" t="s">
        <v>59</v>
      </c>
      <c r="I1" s="1" t="s">
        <v>60</v>
      </c>
    </row>
    <row r="2" spans="1:9" x14ac:dyDescent="0.25">
      <c r="A2">
        <v>1</v>
      </c>
      <c r="B2" t="s">
        <v>0</v>
      </c>
      <c r="C2" t="s">
        <v>1</v>
      </c>
      <c r="D2" t="s">
        <v>2</v>
      </c>
      <c r="E2">
        <v>2.5</v>
      </c>
      <c r="F2" t="b">
        <v>1</v>
      </c>
      <c r="G2">
        <v>5</v>
      </c>
      <c r="H2" t="s">
        <v>3</v>
      </c>
      <c r="I2" t="s">
        <v>4</v>
      </c>
    </row>
    <row r="3" spans="1:9" x14ac:dyDescent="0.25">
      <c r="A3">
        <v>2</v>
      </c>
      <c r="B3" t="s">
        <v>5</v>
      </c>
      <c r="C3" t="s">
        <v>6</v>
      </c>
      <c r="D3" t="s">
        <v>7</v>
      </c>
      <c r="E3">
        <v>18</v>
      </c>
      <c r="F3" t="b">
        <v>1</v>
      </c>
      <c r="G3">
        <v>365</v>
      </c>
      <c r="H3" t="s">
        <v>8</v>
      </c>
      <c r="I3" t="s">
        <v>9</v>
      </c>
    </row>
    <row r="4" spans="1:9" x14ac:dyDescent="0.25">
      <c r="A4">
        <v>3</v>
      </c>
      <c r="B4" t="s">
        <v>10</v>
      </c>
      <c r="C4" t="s">
        <v>11</v>
      </c>
      <c r="D4" t="s">
        <v>2</v>
      </c>
      <c r="E4">
        <v>0.75</v>
      </c>
      <c r="F4" t="b">
        <v>1</v>
      </c>
      <c r="G4">
        <v>180</v>
      </c>
      <c r="H4" t="s">
        <v>12</v>
      </c>
      <c r="I4" t="s">
        <v>9</v>
      </c>
    </row>
    <row r="5" spans="1:9" x14ac:dyDescent="0.25">
      <c r="A5">
        <v>4</v>
      </c>
      <c r="B5" t="s">
        <v>13</v>
      </c>
      <c r="C5" t="s">
        <v>14</v>
      </c>
      <c r="D5" t="s">
        <v>15</v>
      </c>
      <c r="E5">
        <v>25</v>
      </c>
      <c r="F5" t="b">
        <v>1</v>
      </c>
      <c r="G5">
        <v>30</v>
      </c>
      <c r="H5" t="s">
        <v>16</v>
      </c>
      <c r="I5" t="s">
        <v>4</v>
      </c>
    </row>
    <row r="6" spans="1:9" x14ac:dyDescent="0.25">
      <c r="A6">
        <v>5</v>
      </c>
      <c r="B6" t="s">
        <v>17</v>
      </c>
      <c r="C6" t="s">
        <v>18</v>
      </c>
      <c r="D6" t="s">
        <v>15</v>
      </c>
      <c r="E6">
        <v>15</v>
      </c>
      <c r="F6" t="b">
        <v>1</v>
      </c>
      <c r="G6">
        <v>120</v>
      </c>
      <c r="H6" t="s">
        <v>19</v>
      </c>
      <c r="I6"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
  <sheetViews>
    <sheetView workbookViewId="0">
      <pane ySplit="1" topLeftCell="A2" activePane="bottomLeft" state="frozen"/>
      <selection pane="bottomLeft" activeCell="G1" sqref="G1"/>
    </sheetView>
  </sheetViews>
  <sheetFormatPr defaultRowHeight="15" x14ac:dyDescent="0.25"/>
  <cols>
    <col min="1" max="3" width="14" customWidth="1"/>
    <col min="4" max="4" width="15" customWidth="1"/>
    <col min="5" max="7" width="14" customWidth="1"/>
  </cols>
  <sheetData>
    <row r="1" spans="1:7" x14ac:dyDescent="0.25">
      <c r="A1" s="1" t="s">
        <v>61</v>
      </c>
      <c r="B1" s="1" t="s">
        <v>62</v>
      </c>
      <c r="C1" s="1" t="s">
        <v>63</v>
      </c>
      <c r="D1" s="1" t="s">
        <v>64</v>
      </c>
      <c r="E1" s="1" t="s">
        <v>57</v>
      </c>
      <c r="F1" s="1" t="s">
        <v>65</v>
      </c>
      <c r="G1" s="1" t="s">
        <v>66</v>
      </c>
    </row>
    <row r="2" spans="1:7" x14ac:dyDescent="0.25">
      <c r="A2">
        <v>1</v>
      </c>
      <c r="B2" t="s">
        <v>21</v>
      </c>
      <c r="C2" t="s">
        <v>4</v>
      </c>
      <c r="D2">
        <v>500</v>
      </c>
      <c r="E2" t="b">
        <v>1</v>
      </c>
      <c r="F2">
        <v>38</v>
      </c>
      <c r="G2" t="s">
        <v>22</v>
      </c>
    </row>
    <row r="3" spans="1:7" x14ac:dyDescent="0.25">
      <c r="A3">
        <v>2</v>
      </c>
      <c r="B3" t="s">
        <v>23</v>
      </c>
      <c r="C3" t="s">
        <v>20</v>
      </c>
      <c r="D3">
        <v>300</v>
      </c>
      <c r="E3" t="b">
        <v>1</v>
      </c>
      <c r="F3">
        <v>0</v>
      </c>
      <c r="G3" t="s">
        <v>24</v>
      </c>
    </row>
    <row r="4" spans="1:7" x14ac:dyDescent="0.25">
      <c r="A4">
        <v>3</v>
      </c>
      <c r="B4" t="s">
        <v>25</v>
      </c>
      <c r="C4" t="s">
        <v>9</v>
      </c>
      <c r="D4">
        <v>800</v>
      </c>
      <c r="E4" t="b">
        <v>1</v>
      </c>
      <c r="F4">
        <v>72</v>
      </c>
      <c r="G4"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6"/>
  <sheetViews>
    <sheetView workbookViewId="0">
      <pane ySplit="1" topLeftCell="A2" activePane="bottomLeft" state="frozen"/>
      <selection pane="bottomLeft" activeCell="K1" sqref="K1"/>
    </sheetView>
  </sheetViews>
  <sheetFormatPr defaultRowHeight="15" x14ac:dyDescent="0.25"/>
  <cols>
    <col min="1" max="9" width="14" customWidth="1"/>
    <col min="10" max="10" width="16" customWidth="1"/>
    <col min="11" max="11" width="14" customWidth="1"/>
  </cols>
  <sheetData>
    <row r="1" spans="1:11" x14ac:dyDescent="0.25">
      <c r="A1" s="1" t="s">
        <v>67</v>
      </c>
      <c r="B1" s="1" t="s">
        <v>52</v>
      </c>
      <c r="C1" s="1" t="s">
        <v>61</v>
      </c>
      <c r="D1" s="1" t="s">
        <v>68</v>
      </c>
      <c r="E1" s="1" t="s">
        <v>69</v>
      </c>
      <c r="F1" s="1" t="s">
        <v>70</v>
      </c>
      <c r="G1" s="1" t="s">
        <v>71</v>
      </c>
      <c r="H1" s="1" t="s">
        <v>72</v>
      </c>
      <c r="I1" s="1" t="s">
        <v>73</v>
      </c>
      <c r="J1" s="1" t="s">
        <v>74</v>
      </c>
      <c r="K1" s="1" t="s">
        <v>75</v>
      </c>
    </row>
    <row r="2" spans="1:11" x14ac:dyDescent="0.25">
      <c r="A2">
        <v>1</v>
      </c>
      <c r="B2">
        <v>1</v>
      </c>
      <c r="C2">
        <v>1</v>
      </c>
      <c r="D2">
        <v>200</v>
      </c>
      <c r="E2">
        <v>100</v>
      </c>
      <c r="F2">
        <v>150</v>
      </c>
      <c r="G2" s="2">
        <v>46082.416666666657</v>
      </c>
      <c r="H2">
        <v>50</v>
      </c>
      <c r="I2" t="s">
        <v>27</v>
      </c>
      <c r="J2">
        <f>D2*VLOOKUP(B2,INGREDIENT!A:F,5,FALSE)</f>
        <v>500</v>
      </c>
      <c r="K2" t="str">
        <f>IF(D2&lt;=E2,"Reorder","OK")</f>
        <v>OK</v>
      </c>
    </row>
    <row r="3" spans="1:11" x14ac:dyDescent="0.25">
      <c r="A3">
        <v>2</v>
      </c>
      <c r="B3">
        <v>2</v>
      </c>
      <c r="C3">
        <v>3</v>
      </c>
      <c r="D3">
        <v>100</v>
      </c>
      <c r="E3">
        <v>50</v>
      </c>
      <c r="F3">
        <v>75</v>
      </c>
      <c r="G3" s="2">
        <v>46083.479166666657</v>
      </c>
      <c r="H3">
        <v>25</v>
      </c>
      <c r="I3" t="s">
        <v>28</v>
      </c>
      <c r="J3">
        <f>D3*VLOOKUP(B3,INGREDIENT!A:F,5,FALSE)</f>
        <v>1800</v>
      </c>
      <c r="K3" t="str">
        <f>IF(D3&lt;=E3,"Reorder","OK")</f>
        <v>OK</v>
      </c>
    </row>
    <row r="4" spans="1:11" x14ac:dyDescent="0.25">
      <c r="A4">
        <v>3</v>
      </c>
      <c r="B4">
        <v>3</v>
      </c>
      <c r="C4">
        <v>3</v>
      </c>
      <c r="D4">
        <v>300</v>
      </c>
      <c r="E4">
        <v>150</v>
      </c>
      <c r="F4">
        <v>200</v>
      </c>
      <c r="G4" s="2">
        <v>46084.385416666657</v>
      </c>
      <c r="H4">
        <v>75</v>
      </c>
      <c r="I4" t="s">
        <v>29</v>
      </c>
      <c r="J4">
        <f>D4*VLOOKUP(B4,INGREDIENT!A:F,5,FALSE)</f>
        <v>225</v>
      </c>
      <c r="K4" t="str">
        <f>IF(D4&lt;=E4,"Reorder","OK")</f>
        <v>OK</v>
      </c>
    </row>
    <row r="5" spans="1:11" x14ac:dyDescent="0.25">
      <c r="A5">
        <v>4</v>
      </c>
      <c r="B5">
        <v>4</v>
      </c>
      <c r="C5">
        <v>1</v>
      </c>
      <c r="D5">
        <v>50</v>
      </c>
      <c r="E5">
        <v>30</v>
      </c>
      <c r="F5">
        <v>60</v>
      </c>
      <c r="G5" s="2">
        <v>46085.614583333343</v>
      </c>
      <c r="H5">
        <v>20</v>
      </c>
      <c r="I5" t="s">
        <v>14</v>
      </c>
      <c r="J5">
        <f>D5*VLOOKUP(B5,INGREDIENT!A:F,5,FALSE)</f>
        <v>1250</v>
      </c>
      <c r="K5" t="str">
        <f>IF(D5&lt;=E5,"Reorder","OK")</f>
        <v>OK</v>
      </c>
    </row>
    <row r="6" spans="1:11" x14ac:dyDescent="0.25">
      <c r="A6">
        <v>5</v>
      </c>
      <c r="B6">
        <v>5</v>
      </c>
      <c r="C6">
        <v>2</v>
      </c>
      <c r="D6">
        <v>120</v>
      </c>
      <c r="E6">
        <v>60</v>
      </c>
      <c r="F6">
        <v>100</v>
      </c>
      <c r="G6" s="2">
        <v>46086.680555555547</v>
      </c>
      <c r="H6">
        <v>40</v>
      </c>
      <c r="I6" t="s">
        <v>30</v>
      </c>
      <c r="J6">
        <f>D6*VLOOKUP(B6,INGREDIENT!A:F,5,FALSE)</f>
        <v>1800</v>
      </c>
      <c r="K6" t="str">
        <f>IF(D6&lt;=E6,"Reorder","OK")</f>
        <v>OK</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
  <sheetViews>
    <sheetView workbookViewId="0">
      <pane ySplit="1" topLeftCell="A2" activePane="bottomLeft" state="frozen"/>
      <selection pane="bottomLeft" activeCell="H1" sqref="H1"/>
    </sheetView>
  </sheetViews>
  <sheetFormatPr defaultRowHeight="15" x14ac:dyDescent="0.25"/>
  <cols>
    <col min="1" max="8" width="14" customWidth="1"/>
  </cols>
  <sheetData>
    <row r="1" spans="1:8" x14ac:dyDescent="0.25">
      <c r="A1" s="1" t="s">
        <v>76</v>
      </c>
      <c r="B1" s="1" t="s">
        <v>77</v>
      </c>
      <c r="C1" s="1" t="s">
        <v>78</v>
      </c>
      <c r="D1" s="1" t="s">
        <v>79</v>
      </c>
      <c r="E1" s="1" t="s">
        <v>80</v>
      </c>
      <c r="F1" s="1" t="s">
        <v>57</v>
      </c>
      <c r="G1" s="1" t="s">
        <v>81</v>
      </c>
      <c r="H1" s="1" t="s">
        <v>82</v>
      </c>
    </row>
    <row r="2" spans="1:8" x14ac:dyDescent="0.25">
      <c r="A2">
        <v>1</v>
      </c>
      <c r="B2" t="s">
        <v>31</v>
      </c>
      <c r="C2" t="s">
        <v>32</v>
      </c>
      <c r="D2" t="s">
        <v>33</v>
      </c>
      <c r="E2">
        <v>3</v>
      </c>
      <c r="F2" t="b">
        <v>1</v>
      </c>
      <c r="G2" t="s">
        <v>34</v>
      </c>
      <c r="H2" t="s">
        <v>35</v>
      </c>
    </row>
    <row r="3" spans="1:8" x14ac:dyDescent="0.25">
      <c r="A3">
        <v>2</v>
      </c>
      <c r="B3" t="s">
        <v>36</v>
      </c>
      <c r="C3" t="s">
        <v>37</v>
      </c>
      <c r="D3" t="s">
        <v>38</v>
      </c>
      <c r="E3">
        <v>5</v>
      </c>
      <c r="F3" t="b">
        <v>1</v>
      </c>
      <c r="G3" t="s">
        <v>34</v>
      </c>
      <c r="H3" t="s">
        <v>39</v>
      </c>
    </row>
    <row r="4" spans="1:8" x14ac:dyDescent="0.25">
      <c r="A4">
        <v>3</v>
      </c>
      <c r="B4" t="s">
        <v>40</v>
      </c>
      <c r="C4" t="s">
        <v>41</v>
      </c>
      <c r="D4" t="s">
        <v>42</v>
      </c>
      <c r="E4">
        <v>4</v>
      </c>
      <c r="F4" t="b">
        <v>1</v>
      </c>
      <c r="G4" t="s">
        <v>34</v>
      </c>
      <c r="H4" t="s">
        <v>35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6"/>
  <sheetViews>
    <sheetView tabSelected="1" workbookViewId="0">
      <pane ySplit="1" topLeftCell="A2" activePane="bottomLeft" state="frozen"/>
      <selection pane="bottomLeft" activeCell="J1" sqref="J1"/>
    </sheetView>
  </sheetViews>
  <sheetFormatPr defaultRowHeight="15" x14ac:dyDescent="0.25"/>
  <cols>
    <col min="1" max="4" width="14" customWidth="1"/>
    <col min="5" max="5" width="18" customWidth="1"/>
    <col min="6" max="8" width="14" customWidth="1"/>
    <col min="9" max="10" width="15" customWidth="1"/>
  </cols>
  <sheetData>
    <row r="1" spans="1:10" x14ac:dyDescent="0.25">
      <c r="A1" s="1" t="s">
        <v>83</v>
      </c>
      <c r="B1" s="1" t="s">
        <v>76</v>
      </c>
      <c r="C1" s="1" t="s">
        <v>52</v>
      </c>
      <c r="D1" s="1" t="s">
        <v>84</v>
      </c>
      <c r="E1" s="1" t="s">
        <v>85</v>
      </c>
      <c r="F1" s="1" t="s">
        <v>86</v>
      </c>
      <c r="G1" s="1" t="s">
        <v>87</v>
      </c>
      <c r="H1" s="1" t="s">
        <v>88</v>
      </c>
      <c r="I1" s="1" t="s">
        <v>89</v>
      </c>
      <c r="J1" s="1" t="s">
        <v>90</v>
      </c>
    </row>
    <row r="2" spans="1:10" x14ac:dyDescent="0.25">
      <c r="A2">
        <v>1</v>
      </c>
      <c r="B2">
        <v>1</v>
      </c>
      <c r="C2">
        <v>1</v>
      </c>
      <c r="D2" s="2">
        <v>46082</v>
      </c>
      <c r="E2" s="2">
        <v>46085</v>
      </c>
      <c r="F2">
        <v>150</v>
      </c>
      <c r="G2">
        <f>F2*VLOOKUP(C2,INGREDIENT!A:F,5,FALSE)</f>
        <v>375</v>
      </c>
      <c r="H2" t="s">
        <v>43</v>
      </c>
      <c r="I2" t="s">
        <v>44</v>
      </c>
      <c r="J2" t="s">
        <v>45</v>
      </c>
    </row>
    <row r="3" spans="1:10" x14ac:dyDescent="0.25">
      <c r="A3">
        <v>2</v>
      </c>
      <c r="B3">
        <v>2</v>
      </c>
      <c r="C3">
        <v>2</v>
      </c>
      <c r="D3" s="2">
        <v>46083</v>
      </c>
      <c r="E3" s="2">
        <v>46088</v>
      </c>
      <c r="F3">
        <v>75</v>
      </c>
      <c r="G3">
        <f>F3*VLOOKUP(C3,INGREDIENT!A:F,5,FALSE)</f>
        <v>1350</v>
      </c>
      <c r="H3" t="s">
        <v>46</v>
      </c>
      <c r="I3" t="s">
        <v>44</v>
      </c>
      <c r="J3" t="s">
        <v>47</v>
      </c>
    </row>
    <row r="4" spans="1:10" x14ac:dyDescent="0.25">
      <c r="A4">
        <v>3</v>
      </c>
      <c r="B4">
        <v>3</v>
      </c>
      <c r="C4">
        <v>3</v>
      </c>
      <c r="D4" s="2">
        <v>46084</v>
      </c>
      <c r="E4" s="2">
        <v>46087</v>
      </c>
      <c r="F4">
        <v>200</v>
      </c>
      <c r="G4">
        <f>F4*VLOOKUP(C4,INGREDIENT!A:F,5,FALSE)</f>
        <v>150</v>
      </c>
      <c r="H4" t="s">
        <v>43</v>
      </c>
      <c r="I4" t="s">
        <v>48</v>
      </c>
      <c r="J4" t="s">
        <v>49</v>
      </c>
    </row>
    <row r="5" spans="1:10" x14ac:dyDescent="0.25">
      <c r="A5">
        <v>4</v>
      </c>
      <c r="B5">
        <v>1</v>
      </c>
      <c r="C5">
        <v>4</v>
      </c>
      <c r="D5" s="2">
        <v>46085</v>
      </c>
      <c r="E5" s="2">
        <v>46089</v>
      </c>
      <c r="F5">
        <v>60</v>
      </c>
      <c r="G5">
        <f>F5*VLOOKUP(C5,INGREDIENT!A:F,5,FALSE)</f>
        <v>1500</v>
      </c>
      <c r="H5" t="s">
        <v>50</v>
      </c>
      <c r="I5" t="s">
        <v>44</v>
      </c>
      <c r="J5" t="s">
        <v>45</v>
      </c>
    </row>
    <row r="6" spans="1:10" x14ac:dyDescent="0.25">
      <c r="A6">
        <v>5</v>
      </c>
      <c r="B6">
        <v>2</v>
      </c>
      <c r="C6">
        <v>5</v>
      </c>
      <c r="D6" s="2">
        <v>46086</v>
      </c>
      <c r="E6" s="2">
        <v>46090</v>
      </c>
      <c r="F6">
        <v>100</v>
      </c>
      <c r="G6">
        <f>F6*VLOOKUP(C6,INGREDIENT!A:F,5,FALSE)</f>
        <v>1500</v>
      </c>
      <c r="H6" t="s">
        <v>43</v>
      </c>
      <c r="I6" t="s">
        <v>48</v>
      </c>
      <c r="J6" t="s">
        <v>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1A2A9-8F7A-4916-8EA1-45D632B95703}">
  <dimension ref="A1:R27"/>
  <sheetViews>
    <sheetView workbookViewId="0">
      <selection activeCell="O87" sqref="O87"/>
    </sheetView>
  </sheetViews>
  <sheetFormatPr defaultRowHeight="15" x14ac:dyDescent="0.25"/>
  <sheetData>
    <row r="1" spans="1:18" x14ac:dyDescent="0.25">
      <c r="A1" s="4" t="s">
        <v>51</v>
      </c>
      <c r="B1" s="4"/>
      <c r="C1" s="4"/>
      <c r="D1" s="4"/>
      <c r="E1" s="4"/>
      <c r="F1" s="4"/>
      <c r="G1" s="4"/>
      <c r="H1" s="4"/>
      <c r="I1" s="4"/>
      <c r="J1" s="4"/>
      <c r="K1" s="4"/>
      <c r="L1" s="4"/>
      <c r="M1" s="4"/>
      <c r="N1" s="4"/>
      <c r="O1" s="4"/>
      <c r="P1" s="4"/>
      <c r="Q1" s="4"/>
      <c r="R1" s="4"/>
    </row>
    <row r="2" spans="1:18" x14ac:dyDescent="0.25">
      <c r="A2" s="4"/>
      <c r="B2" s="4"/>
      <c r="C2" s="4"/>
      <c r="D2" s="4"/>
      <c r="E2" s="4"/>
      <c r="F2" s="4"/>
      <c r="G2" s="4"/>
      <c r="H2" s="4"/>
      <c r="I2" s="4"/>
      <c r="J2" s="4"/>
      <c r="K2" s="4"/>
      <c r="L2" s="4"/>
      <c r="M2" s="4"/>
      <c r="N2" s="4"/>
      <c r="O2" s="4"/>
      <c r="P2" s="4"/>
      <c r="Q2" s="4"/>
      <c r="R2" s="4"/>
    </row>
    <row r="3" spans="1:18" x14ac:dyDescent="0.25">
      <c r="A3" s="4"/>
      <c r="B3" s="4"/>
      <c r="C3" s="4"/>
      <c r="D3" s="4"/>
      <c r="E3" s="4"/>
      <c r="F3" s="4"/>
      <c r="G3" s="4"/>
      <c r="H3" s="4"/>
      <c r="I3" s="4"/>
      <c r="J3" s="4"/>
      <c r="K3" s="4"/>
      <c r="L3" s="4"/>
      <c r="M3" s="4"/>
      <c r="N3" s="4"/>
      <c r="O3" s="4"/>
      <c r="P3" s="4"/>
      <c r="Q3" s="4"/>
      <c r="R3" s="4"/>
    </row>
    <row r="4" spans="1:18" x14ac:dyDescent="0.25">
      <c r="A4" s="4"/>
      <c r="B4" s="4"/>
      <c r="C4" s="4"/>
      <c r="D4" s="4"/>
      <c r="E4" s="4"/>
      <c r="F4" s="4"/>
      <c r="G4" s="4"/>
      <c r="H4" s="4"/>
      <c r="I4" s="4"/>
      <c r="J4" s="4"/>
      <c r="K4" s="4"/>
      <c r="L4" s="4"/>
      <c r="M4" s="4"/>
      <c r="N4" s="4"/>
      <c r="O4" s="4"/>
      <c r="P4" s="4"/>
      <c r="Q4" s="4"/>
      <c r="R4" s="4"/>
    </row>
    <row r="5" spans="1:18" x14ac:dyDescent="0.25">
      <c r="A5" s="4"/>
      <c r="B5" s="4"/>
      <c r="C5" s="4"/>
      <c r="D5" s="4"/>
      <c r="E5" s="4"/>
      <c r="F5" s="4"/>
      <c r="G5" s="4"/>
      <c r="H5" s="4"/>
      <c r="I5" s="4"/>
      <c r="J5" s="4"/>
      <c r="K5" s="4"/>
      <c r="L5" s="4"/>
      <c r="M5" s="4"/>
      <c r="N5" s="4"/>
      <c r="O5" s="4"/>
      <c r="P5" s="4"/>
      <c r="Q5" s="4"/>
      <c r="R5" s="4"/>
    </row>
    <row r="6" spans="1:18" x14ac:dyDescent="0.25">
      <c r="A6" s="4"/>
      <c r="B6" s="4"/>
      <c r="C6" s="4"/>
      <c r="D6" s="4"/>
      <c r="E6" s="4"/>
      <c r="F6" s="4"/>
      <c r="G6" s="4"/>
      <c r="H6" s="4"/>
      <c r="I6" s="4"/>
      <c r="J6" s="4"/>
      <c r="K6" s="4"/>
      <c r="L6" s="4"/>
      <c r="M6" s="4"/>
      <c r="N6" s="4"/>
      <c r="O6" s="4"/>
      <c r="P6" s="4"/>
      <c r="Q6" s="4"/>
      <c r="R6" s="4"/>
    </row>
    <row r="7" spans="1:18" x14ac:dyDescent="0.25">
      <c r="A7" s="4"/>
      <c r="B7" s="4"/>
      <c r="C7" s="4"/>
      <c r="D7" s="4"/>
      <c r="E7" s="4"/>
      <c r="F7" s="4"/>
      <c r="G7" s="4"/>
      <c r="H7" s="4"/>
      <c r="I7" s="4"/>
      <c r="J7" s="4"/>
      <c r="K7" s="4"/>
      <c r="L7" s="4"/>
      <c r="M7" s="4"/>
      <c r="N7" s="4"/>
      <c r="O7" s="4"/>
      <c r="P7" s="4"/>
      <c r="Q7" s="4"/>
      <c r="R7" s="4"/>
    </row>
    <row r="8" spans="1:18" x14ac:dyDescent="0.25">
      <c r="A8" s="4"/>
      <c r="B8" s="4"/>
      <c r="C8" s="4"/>
      <c r="D8" s="4"/>
      <c r="E8" s="4"/>
      <c r="F8" s="4"/>
      <c r="G8" s="4"/>
      <c r="H8" s="4"/>
      <c r="I8" s="4"/>
      <c r="J8" s="4"/>
      <c r="K8" s="4"/>
      <c r="L8" s="4"/>
      <c r="M8" s="4"/>
      <c r="N8" s="4"/>
      <c r="O8" s="4"/>
      <c r="P8" s="4"/>
      <c r="Q8" s="4"/>
      <c r="R8" s="4"/>
    </row>
    <row r="9" spans="1:18" x14ac:dyDescent="0.25">
      <c r="A9" s="4"/>
      <c r="B9" s="4"/>
      <c r="C9" s="4"/>
      <c r="D9" s="4"/>
      <c r="E9" s="4"/>
      <c r="F9" s="4"/>
      <c r="G9" s="4"/>
      <c r="H9" s="4"/>
      <c r="I9" s="4"/>
      <c r="J9" s="4"/>
      <c r="K9" s="4"/>
      <c r="L9" s="4"/>
      <c r="M9" s="4"/>
      <c r="N9" s="4"/>
      <c r="O9" s="4"/>
      <c r="P9" s="4"/>
      <c r="Q9" s="4"/>
      <c r="R9" s="4"/>
    </row>
    <row r="10" spans="1:18" x14ac:dyDescent="0.25">
      <c r="A10" s="4"/>
      <c r="B10" s="4"/>
      <c r="C10" s="4"/>
      <c r="D10" s="4"/>
      <c r="E10" s="4"/>
      <c r="F10" s="4"/>
      <c r="G10" s="4"/>
      <c r="H10" s="4"/>
      <c r="I10" s="4"/>
      <c r="J10" s="4"/>
      <c r="K10" s="4"/>
      <c r="L10" s="4"/>
      <c r="M10" s="4"/>
      <c r="N10" s="4"/>
      <c r="O10" s="4"/>
      <c r="P10" s="4"/>
      <c r="Q10" s="4"/>
      <c r="R10" s="4"/>
    </row>
    <row r="11" spans="1:18" x14ac:dyDescent="0.25">
      <c r="A11" s="4"/>
      <c r="B11" s="4"/>
      <c r="C11" s="4"/>
      <c r="D11" s="4"/>
      <c r="E11" s="4"/>
      <c r="F11" s="4"/>
      <c r="G11" s="4"/>
      <c r="H11" s="4"/>
      <c r="I11" s="4"/>
      <c r="J11" s="4"/>
      <c r="K11" s="4"/>
      <c r="L11" s="4"/>
      <c r="M11" s="4"/>
      <c r="N11" s="4"/>
      <c r="O11" s="4"/>
      <c r="P11" s="4"/>
      <c r="Q11" s="4"/>
      <c r="R11" s="4"/>
    </row>
    <row r="12" spans="1:18" x14ac:dyDescent="0.25">
      <c r="A12" s="4"/>
      <c r="B12" s="4"/>
      <c r="C12" s="4"/>
      <c r="D12" s="4"/>
      <c r="E12" s="4"/>
      <c r="F12" s="4"/>
      <c r="G12" s="4"/>
      <c r="H12" s="4"/>
      <c r="I12" s="4"/>
      <c r="J12" s="4"/>
      <c r="K12" s="4"/>
      <c r="L12" s="4"/>
      <c r="M12" s="4"/>
      <c r="N12" s="4"/>
      <c r="O12" s="4"/>
      <c r="P12" s="4"/>
      <c r="Q12" s="4"/>
      <c r="R12" s="4"/>
    </row>
    <row r="13" spans="1:18" x14ac:dyDescent="0.25">
      <c r="A13" s="4"/>
      <c r="B13" s="4"/>
      <c r="C13" s="4"/>
      <c r="D13" s="4"/>
      <c r="E13" s="4"/>
      <c r="F13" s="4"/>
      <c r="G13" s="4"/>
      <c r="H13" s="4"/>
      <c r="I13" s="4"/>
      <c r="J13" s="4"/>
      <c r="K13" s="4"/>
      <c r="L13" s="4"/>
      <c r="M13" s="4"/>
      <c r="N13" s="4"/>
      <c r="O13" s="4"/>
      <c r="P13" s="4"/>
      <c r="Q13" s="4"/>
      <c r="R13" s="4"/>
    </row>
    <row r="14" spans="1:18" x14ac:dyDescent="0.25">
      <c r="A14" s="4"/>
      <c r="B14" s="4"/>
      <c r="C14" s="4"/>
      <c r="D14" s="4"/>
      <c r="E14" s="4"/>
      <c r="F14" s="4"/>
      <c r="G14" s="4"/>
      <c r="H14" s="4"/>
      <c r="I14" s="4"/>
      <c r="J14" s="4"/>
      <c r="K14" s="4"/>
      <c r="L14" s="4"/>
      <c r="M14" s="4"/>
      <c r="N14" s="4"/>
      <c r="O14" s="4"/>
      <c r="P14" s="4"/>
      <c r="Q14" s="4"/>
      <c r="R14" s="4"/>
    </row>
    <row r="15" spans="1:18" x14ac:dyDescent="0.25">
      <c r="A15" s="4"/>
      <c r="B15" s="4"/>
      <c r="C15" s="4"/>
      <c r="D15" s="4"/>
      <c r="E15" s="4"/>
      <c r="F15" s="4"/>
      <c r="G15" s="4"/>
      <c r="H15" s="4"/>
      <c r="I15" s="4"/>
      <c r="J15" s="4"/>
      <c r="K15" s="4"/>
      <c r="L15" s="4"/>
      <c r="M15" s="4"/>
      <c r="N15" s="4"/>
      <c r="O15" s="4"/>
      <c r="P15" s="4"/>
      <c r="Q15" s="4"/>
      <c r="R15" s="4"/>
    </row>
    <row r="16" spans="1:18" x14ac:dyDescent="0.25">
      <c r="A16" s="4"/>
      <c r="B16" s="4"/>
      <c r="C16" s="4"/>
      <c r="D16" s="4"/>
      <c r="E16" s="4"/>
      <c r="F16" s="4"/>
      <c r="G16" s="4"/>
      <c r="H16" s="4"/>
      <c r="I16" s="4"/>
      <c r="J16" s="4"/>
      <c r="K16" s="4"/>
      <c r="L16" s="4"/>
      <c r="M16" s="4"/>
      <c r="N16" s="4"/>
      <c r="O16" s="4"/>
      <c r="P16" s="4"/>
      <c r="Q16" s="4"/>
      <c r="R16" s="4"/>
    </row>
    <row r="17" spans="1:18" x14ac:dyDescent="0.25">
      <c r="A17" s="4"/>
      <c r="B17" s="4"/>
      <c r="C17" s="4"/>
      <c r="D17" s="4"/>
      <c r="E17" s="4"/>
      <c r="F17" s="4"/>
      <c r="G17" s="4"/>
      <c r="H17" s="4"/>
      <c r="I17" s="4"/>
      <c r="J17" s="4"/>
      <c r="K17" s="4"/>
      <c r="L17" s="4"/>
      <c r="M17" s="4"/>
      <c r="N17" s="4"/>
      <c r="O17" s="4"/>
      <c r="P17" s="4"/>
      <c r="Q17" s="4"/>
      <c r="R17" s="4"/>
    </row>
    <row r="18" spans="1:18" x14ac:dyDescent="0.25">
      <c r="A18" s="4"/>
      <c r="B18" s="4"/>
      <c r="C18" s="4"/>
      <c r="D18" s="4"/>
      <c r="E18" s="4"/>
      <c r="F18" s="4"/>
      <c r="G18" s="4"/>
      <c r="H18" s="4"/>
      <c r="I18" s="4"/>
      <c r="J18" s="4"/>
      <c r="K18" s="4"/>
      <c r="L18" s="4"/>
      <c r="M18" s="4"/>
      <c r="N18" s="4"/>
      <c r="O18" s="4"/>
      <c r="P18" s="4"/>
      <c r="Q18" s="4"/>
      <c r="R18" s="4"/>
    </row>
    <row r="19" spans="1:18" x14ac:dyDescent="0.25">
      <c r="A19" s="4"/>
      <c r="B19" s="4"/>
      <c r="C19" s="4"/>
      <c r="D19" s="4"/>
      <c r="E19" s="4"/>
      <c r="F19" s="4"/>
      <c r="G19" s="4"/>
      <c r="H19" s="4"/>
      <c r="I19" s="4"/>
      <c r="J19" s="4"/>
      <c r="K19" s="4"/>
      <c r="L19" s="4"/>
      <c r="M19" s="4"/>
      <c r="N19" s="4"/>
      <c r="O19" s="4"/>
      <c r="P19" s="4"/>
      <c r="Q19" s="4"/>
      <c r="R19" s="4"/>
    </row>
    <row r="20" spans="1:18" x14ac:dyDescent="0.25">
      <c r="A20" s="4"/>
      <c r="B20" s="4"/>
      <c r="C20" s="4"/>
      <c r="D20" s="4"/>
      <c r="E20" s="4"/>
      <c r="F20" s="4"/>
      <c r="G20" s="4"/>
      <c r="H20" s="4"/>
      <c r="I20" s="4"/>
      <c r="J20" s="4"/>
      <c r="K20" s="4"/>
      <c r="L20" s="4"/>
      <c r="M20" s="4"/>
      <c r="N20" s="4"/>
      <c r="O20" s="4"/>
      <c r="P20" s="4"/>
      <c r="Q20" s="4"/>
      <c r="R20" s="4"/>
    </row>
    <row r="21" spans="1:18" x14ac:dyDescent="0.25">
      <c r="A21" s="4"/>
      <c r="B21" s="4"/>
      <c r="C21" s="4"/>
      <c r="D21" s="4"/>
      <c r="E21" s="4"/>
      <c r="F21" s="4"/>
      <c r="G21" s="4"/>
      <c r="H21" s="4"/>
      <c r="I21" s="4"/>
      <c r="J21" s="4"/>
      <c r="K21" s="4"/>
      <c r="L21" s="4"/>
      <c r="M21" s="4"/>
      <c r="N21" s="4"/>
      <c r="O21" s="4"/>
      <c r="P21" s="4"/>
      <c r="Q21" s="4"/>
      <c r="R21" s="4"/>
    </row>
    <row r="22" spans="1:18" x14ac:dyDescent="0.25">
      <c r="A22" s="4"/>
      <c r="B22" s="4"/>
      <c r="C22" s="4"/>
      <c r="D22" s="4"/>
      <c r="E22" s="4"/>
      <c r="F22" s="4"/>
      <c r="G22" s="4"/>
      <c r="H22" s="4"/>
      <c r="I22" s="4"/>
      <c r="J22" s="4"/>
      <c r="K22" s="4"/>
      <c r="L22" s="4"/>
      <c r="M22" s="4"/>
      <c r="N22" s="4"/>
      <c r="O22" s="4"/>
      <c r="P22" s="4"/>
      <c r="Q22" s="4"/>
      <c r="R22" s="4"/>
    </row>
    <row r="23" spans="1:18" x14ac:dyDescent="0.25">
      <c r="A23" s="4"/>
      <c r="B23" s="4"/>
      <c r="C23" s="4"/>
      <c r="D23" s="4"/>
      <c r="E23" s="4"/>
      <c r="F23" s="4"/>
      <c r="G23" s="4"/>
      <c r="H23" s="4"/>
      <c r="I23" s="4"/>
      <c r="J23" s="4"/>
      <c r="K23" s="4"/>
      <c r="L23" s="4"/>
      <c r="M23" s="4"/>
      <c r="N23" s="4"/>
      <c r="O23" s="4"/>
      <c r="P23" s="4"/>
      <c r="Q23" s="4"/>
      <c r="R23" s="4"/>
    </row>
    <row r="24" spans="1:18" x14ac:dyDescent="0.25">
      <c r="A24" s="3"/>
      <c r="B24" s="3"/>
      <c r="C24" s="3"/>
      <c r="D24" s="3"/>
      <c r="E24" s="3"/>
      <c r="F24" s="3"/>
      <c r="G24" s="3"/>
      <c r="H24" s="3"/>
    </row>
    <row r="25" spans="1:18" x14ac:dyDescent="0.25">
      <c r="A25" s="3"/>
      <c r="B25" s="3"/>
      <c r="C25" s="3"/>
      <c r="D25" s="3"/>
      <c r="E25" s="3"/>
      <c r="F25" s="3"/>
      <c r="G25" s="3"/>
      <c r="H25" s="3"/>
    </row>
    <row r="26" spans="1:18" x14ac:dyDescent="0.25">
      <c r="A26" s="3"/>
      <c r="B26" s="3"/>
      <c r="C26" s="3"/>
      <c r="D26" s="3"/>
      <c r="E26" s="3"/>
      <c r="F26" s="3"/>
      <c r="G26" s="3"/>
      <c r="H26" s="3"/>
    </row>
    <row r="27" spans="1:18" x14ac:dyDescent="0.25">
      <c r="A27" s="3"/>
      <c r="B27" s="3"/>
      <c r="C27" s="3"/>
      <c r="D27" s="3"/>
      <c r="E27" s="3"/>
      <c r="F27" s="3"/>
      <c r="G27" s="3"/>
      <c r="H27" s="3"/>
    </row>
  </sheetData>
  <mergeCells count="1">
    <mergeCell ref="A1:R2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4FF60F41BF23441A4131B9D1FAD4A59" ma:contentTypeVersion="8" ma:contentTypeDescription="Create a new document." ma:contentTypeScope="" ma:versionID="4d6856a492015651aa443efe6ce96f3c">
  <xsd:schema xmlns:xsd="http://www.w3.org/2001/XMLSchema" xmlns:xs="http://www.w3.org/2001/XMLSchema" xmlns:p="http://schemas.microsoft.com/office/2006/metadata/properties" xmlns:ns3="b53c0442-a17a-44b4-b09d-a6c71fe29221" targetNamespace="http://schemas.microsoft.com/office/2006/metadata/properties" ma:root="true" ma:fieldsID="2113ac3b706501ac1d7aa19102fa9254" ns3:_="">
    <xsd:import namespace="b53c0442-a17a-44b4-b09d-a6c71fe29221"/>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SearchProperties" minOccurs="0"/>
                <xsd:element ref="ns3:MediaServiceSystemTags" minOccurs="0"/>
                <xsd:element ref="ns3:MediaServiceGenerationTime" minOccurs="0"/>
                <xsd:element ref="ns3:MediaServiceEventHashCode"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3c0442-a17a-44b4-b09d-a6c71fe292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657B81B-789B-493A-B81D-CA7B52A02B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3c0442-a17a-44b4-b09d-a6c71fe292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7D13214-70B6-4D1C-9D9F-31A48D948243}">
  <ds:schemaRefs>
    <ds:schemaRef ds:uri="http://schemas.microsoft.com/sharepoint/v3/contenttype/forms"/>
  </ds:schemaRefs>
</ds:datastoreItem>
</file>

<file path=customXml/itemProps3.xml><?xml version="1.0" encoding="utf-8"?>
<ds:datastoreItem xmlns:ds="http://schemas.openxmlformats.org/officeDocument/2006/customXml" ds:itemID="{F13517E7-E998-4677-8645-C84FAC008A78}">
  <ds:schemaRefs>
    <ds:schemaRef ds:uri="http://purl.org/dc/terms/"/>
    <ds:schemaRef ds:uri="http://schemas.microsoft.com/office/2006/documentManagement/types"/>
    <ds:schemaRef ds:uri="b53c0442-a17a-44b4-b09d-a6c71fe29221"/>
    <ds:schemaRef ds:uri="http://schemas.microsoft.com/office/infopath/2007/PartnerControls"/>
    <ds:schemaRef ds:uri="http://schemas.openxmlformats.org/package/2006/metadata/core-properties"/>
    <ds:schemaRef ds:uri="http://purl.org/dc/elements/1.1/"/>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INGREDIENT</vt:lpstr>
      <vt:lpstr>LOCATION</vt:lpstr>
      <vt:lpstr>INVENTORY</vt:lpstr>
      <vt:lpstr>SUPPLIER</vt:lpstr>
      <vt:lpstr>PURCHASE_ORDER</vt:lpstr>
      <vt:lpstr>REFLECTION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Jaden Dunn (student)</cp:lastModifiedBy>
  <dcterms:created xsi:type="dcterms:W3CDTF">2026-03-21T18:12:07Z</dcterms:created>
  <dcterms:modified xsi:type="dcterms:W3CDTF">2026-03-22T23:35:29Z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0x01010094FF60F41BF23441A4131B9D1FAD4A59</vt:lpwstr>
  </property>
</Properties>
</file>